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Riomed\RegressionTesting\Cellma4ClinicalAuto2\ExcelFiles\"/>
    </mc:Choice>
  </mc:AlternateContent>
  <xr:revisionPtr revIDLastSave="0" documentId="13_ncr:1_{ED5282E7-CC52-4809-9582-07AC65584E97}" xr6:coauthVersionLast="47" xr6:coauthVersionMax="47" xr10:uidLastSave="{00000000-0000-0000-0000-000000000000}"/>
  <bookViews>
    <workbookView xWindow="-120" yWindow="-120" windowWidth="24240" windowHeight="13020" firstSheet="15" activeTab="17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Worklist" sheetId="73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<sst xmlns="http://schemas.openxmlformats.org/spreadsheetml/2006/main" count="1374" uniqueCount="704">
  <si>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</si>
  <si>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</si>
  <si>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</si>
  <si>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</si>
  <si>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</si>
  <si>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</si>
  <si>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</si>
  <si>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</si>
  <si>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</si>
  <si>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</si>
  <si>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</si>
  <si>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</si>
  <si>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</si>
  <si>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</si>
  <si>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</si>
  <si>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</si>
  <si>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</si>
  <si>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</si>
  <si>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</si>
  <si>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</si>
  <si>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</si>
  <si>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</si>
  <si>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</si>
  <si>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</si>
  <si>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</si>
  <si>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</si>
  <si>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</si>
  <si>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</si>
  <si>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</si>
  <si>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</si>
  <si>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</si>
  <si>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</si>
  <si>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</si>
  <si>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</si>
  <si>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</si>
  <si>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</si>
  <si>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</si>
  <si>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</si>
  <si>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</si>
  <si>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</si>
  <si>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</si>
  <si>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</si>
  <si>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</si>
  <si>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</si>
  <si>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</si>
  <si>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</si>
  <si>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</si>
  <si>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</si>
  <si>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</si>
  <si>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</si>
  <si>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</si>
  <si>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</si>
  <si>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</si>
  <si>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</si>
  <si>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</si>
  <si>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</si>
  <si>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</si>
  <si>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</si>
  <si>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</si>
  <si>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</si>
  <si>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</si>
  <si>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</si>
  <si>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</si>
  <si>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</si>
  <si>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</si>
  <si>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</si>
  <si>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</si>
  <si>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</si>
  <si>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</si>
  <si>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</si>
  <si>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</si>
  <si>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</si>
  <si>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</si>
  <si>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</si>
  <si>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</si>
  <si>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</si>
  <si>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</si>
  <si>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</si>
  <si>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</si>
  <si>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</si>
  <si>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</si>
  <si>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</si>
  <si>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</si>
  <si>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</si>
  <si>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</si>
  <si>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</si>
  <si>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</si>
  <si>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</si>
  <si>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</si>
  <si>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</si>
  <si>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</si>
  <si>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</si>
  <si>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</si>
  <si>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</si>
  <si>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</si>
  <si>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</si>
  <si>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</si>
  <si>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</si>
  <si>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</si>
  <si>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</si>
  <si>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</si>
  <si>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</si>
  <si>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</si>
  <si>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</si>
  <si>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</si>
  <si>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</si>
  <si>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</si>
  <si>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</si>
  <si>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</si>
  <si>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</si>
  <si>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</si>
  <si>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</si>
  <si>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</si>
  <si>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</si>
  <si>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</si>
  <si>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</si>
  <si>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</si>
  <si>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</si>
  <si>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</si>
  <si>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</si>
  <si>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</si>
  <si>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</si>
  <si>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</si>
  <si>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</si>
  <si>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</si>
  <si>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</si>
  <si>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</si>
  <si>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</si>
  <si>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</si>
  <si>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</si>
  <si>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</si>
  <si>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</si>
  <si>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</si>
  <si>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</si>
  <si>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</si>
  <si>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</si>
  <si>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</si>
  <si>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</si>
  <si>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</si>
  <si>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</si>
  <si>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</si>
  <si>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</si>
  <si>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</si>
  <si>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</si>
  <si>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</si>
  <si>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</si>
  <si>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</si>
  <si>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</si>
  <si>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</si>
  <si>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</si>
  <si>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</si>
  <si>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</si>
  <si>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</si>
  <si>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</si>
  <si>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</si>
  <si>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</si>
  <si>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</si>
  <si>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</si>
  <si>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</si>
  <si>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</si>
  <si>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</si>
  <si>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</si>
  <si>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</si>
  <si>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</si>
  <si>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</si>
  <si>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</si>
  <si>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</si>
  <si>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</si>
  <si>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</si>
  <si>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</si>
  <si>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</si>
  <si>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</si>
  <si>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</si>
  <si>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</si>
  <si>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</si>
  <si>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</si>
  <si>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</si>
  <si>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</si>
  <si>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</si>
  <si>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</si>
  <si>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</si>
  <si>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</si>
  <si>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</si>
  <si>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</si>
  <si>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</si>
  <si>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</si>
  <si>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</si>
  <si>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</si>
  <si>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</si>
  <si>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</si>
  <si>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</si>
  <si>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</si>
  <si>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</si>
  <si>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</si>
  <si>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</si>
  <si>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</si>
  <si>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</si>
  <si>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</si>
  <si>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</si>
  <si>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</si>
  <si>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</si>
  <si>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</si>
  <si>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</si>
  <si>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</si>
  <si>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</si>
  <si>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</si>
  <si>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</si>
  <si>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</si>
  <si>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</si>
  <si>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</si>
  <si>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</si>
  <si>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</si>
  <si>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</si>
  <si>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</si>
  <si>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</si>
  <si>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</si>
  <si>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</si>
  <si>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</si>
  <si>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</si>
  <si>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</si>
  <si>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</si>
  <si>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</si>
  <si>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</si>
  <si>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</si>
  <si>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</si>
  <si>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</si>
  <si>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</si>
  <si>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</si>
  <si>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</si>
  <si>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</si>
  <si>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</si>
  <si>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</si>
  <si>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</si>
  <si>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</si>
  <si>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</si>
  <si>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</si>
  <si>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</si>
  <si>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</si>
  <si>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</si>
  <si>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</si>
  <si>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</si>
  <si>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</si>
  <si>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</si>
  <si>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</si>
  <si>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</si>
  <si>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</si>
  <si>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</si>
  <si>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</si>
  <si>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</si>
  <si>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</si>
  <si>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</si>
  <si>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</si>
  <si>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</si>
  <si>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</si>
  <si>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</si>
  <si>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</si>
  <si>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</si>
  <si>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</si>
  <si>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</si>
  <si>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</si>
  <si>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</si>
  <si>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</si>
  <si>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</si>
  <si>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</si>
  <si>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</si>
  <si>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</si>
  <si>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</si>
  <si>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</si>
  <si>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</si>
  <si>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</si>
  <si>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</si>
  <si>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</si>
  <si>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</si>
  <si>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</si>
  <si>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</si>
  <si>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</si>
  <si>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</si>
  <si>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</si>
  <si>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</si>
  <si>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</si>
  <si>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</si>
  <si>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</si>
  <si>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</si>
  <si>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</si>
  <si>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</si>
  <si>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</si>
  <si>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</si>
  <si>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</si>
  <si>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</si>
  <si>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</si>
  <si>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</si>
  <si>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</si>
  <si>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</si>
  <si>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</si>
  <si>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</si>
  <si>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</si>
  <si>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</si>
  <si>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</si>
  <si>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</si>
  <si>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</si>
  <si>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</si>
  <si>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</si>
  <si>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</si>
  <si>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</si>
  <si>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</si>
  <si>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</si>
  <si>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</si>
  <si>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</si>
  <si>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</si>
  <si>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</si>
  <si>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</si>
  <si>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</si>
  <si>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</si>
  <si>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</si>
  <si>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</si>
  <si>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</si>
  <si>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</si>
  <si>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</si>
  <si>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</si>
  <si>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</si>
  <si>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</si>
  <si>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</si>
  <si>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</si>
  <si>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</si>
  <si>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</si>
  <si>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</si>
  <si>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</si>
  <si>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</si>
  <si>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</si>
  <si>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</si>
  <si>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</si>
  <si>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</si>
  <si>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</si>
  <si>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</si>
  <si>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</si>
  <si>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</si>
  <si>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</si>
  <si>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</si>
  <si>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</si>
  <si>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</si>
  <si>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</si>
  <si>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</si>
  <si>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</si>
  <si>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</si>
  <si>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</si>
  <si>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</si>
  <si>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</si>
  <si>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</si>
  <si>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</si>
  <si>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</si>
  <si>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</si>
  <si>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</si>
  <si>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</si>
  <si>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</si>
  <si>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</si>
  <si>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</si>
  <si>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</si>
  <si>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</si>
  <si>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</si>
  <si>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</si>
  <si>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01/01/2025</t>
  </si>
  <si>
    <t>manoj.auto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</si>
  <si>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</si>
  <si>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</si>
  <si>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</si>
  <si>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</si>
  <si>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</si>
  <si>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</si>
  <si>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</si>
  <si>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</si>
  <si>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</si>
  <si>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</si>
  <si>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</si>
  <si>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</si>
  <si>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</si>
  <si>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</si>
  <si>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</si>
  <si>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</si>
  <si>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</si>
  <si>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</si>
  <si>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</si>
  <si>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</si>
  <si>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</si>
  <si>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</si>
  <si>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</si>
  <si>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</si>
  <si>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</si>
  <si>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</si>
  <si>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</si>
  <si>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</si>
  <si>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</si>
  <si>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</si>
  <si>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</si>
  <si>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</si>
  <si>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</si>
  <si>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</si>
  <si>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</si>
  <si>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</si>
  <si>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</si>
  <si>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</si>
  <si>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</si>
  <si>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</si>
  <si>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</si>
  <si>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</si>
  <si>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</si>
  <si>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</si>
  <si>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</si>
  <si>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</si>
  <si>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</si>
  <si>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</si>
  <si>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</si>
  <si>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</si>
  <si>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</si>
  <si>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</si>
  <si>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</si>
  <si>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</si>
  <si>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Paracetamol 500mg / Ibuprofen 200mg tablets</t>
  </si>
  <si>
    <t>Knee Arthroplasty</t>
  </si>
  <si>
    <t>medi_form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</si>
  <si>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</si>
  <si>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</si>
  <si>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</si>
  <si>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</si>
  <si>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</si>
  <si>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</si>
  <si>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</si>
  <si>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</si>
  <si>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</si>
  <si>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</si>
  <si>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</si>
  <si>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</si>
  <si>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</si>
  <si>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</si>
  <si>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</si>
  <si>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</si>
  <si>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</si>
  <si>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</si>
  <si>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</si>
  <si>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</si>
  <si>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</si>
  <si>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</si>
  <si>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</si>
  <si>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</si>
  <si>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</si>
  <si>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</si>
  <si>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</si>
  <si>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</si>
  <si>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</si>
  <si>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</si>
  <si>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</si>
  <si>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</si>
  <si>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</si>
  <si>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</si>
  <si>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</si>
  <si>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</si>
  <si>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</si>
  <si>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</si>
  <si>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</si>
  <si>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</si>
  <si>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</si>
  <si>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</si>
  <si>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</si>
  <si>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</si>
  <si>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</si>
  <si>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</si>
  <si>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</si>
  <si>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</si>
  <si>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</si>
  <si>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</si>
  <si>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</si>
  <si>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</si>
  <si>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</si>
  <si>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</si>
  <si>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</si>
  <si>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</si>
  <si>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</si>
  <si>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</si>
  <si>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</si>
  <si>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</si>
  <si>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</si>
  <si>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</si>
  <si>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</si>
  <si>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</si>
  <si>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</si>
  <si>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</si>
  <si>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</si>
  <si>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</si>
  <si>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</si>
  <si>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</si>
  <si>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</si>
  <si>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</si>
  <si>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</si>
  <si>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</si>
  <si>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</si>
  <si>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</si>
  <si>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</si>
  <si>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</si>
  <si>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</si>
  <si>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</si>
  <si>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</si>
  <si>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</si>
  <si>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</si>
  <si>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</si>
  <si>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</si>
  <si>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</si>
  <si>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</si>
  <si>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</si>
  <si>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</si>
  <si>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</si>
  <si>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</si>
  <si>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</si>
  <si>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</si>
  <si>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</si>
  <si>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</si>
  <si>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</si>
  <si>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</si>
  <si>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</si>
  <si>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</si>
  <si>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</si>
  <si>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</si>
  <si>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</si>
  <si>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</si>
  <si>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</si>
  <si>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</si>
  <si>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</si>
  <si>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</si>
  <si>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</si>
  <si>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</si>
  <si>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</si>
  <si>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</si>
  <si>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</si>
  <si>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</si>
  <si>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</si>
  <si>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</si>
  <si>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</si>
  <si>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</si>
  <si>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</si>
  <si>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</si>
  <si>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</si>
  <si>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</si>
  <si>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</si>
  <si>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</si>
  <si>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</si>
  <si>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</si>
  <si>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</si>
  <si>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</si>
  <si>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</si>
  <si>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</si>
  <si>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</si>
  <si>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</si>
  <si>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</si>
  <si>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</si>
  <si>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</si>
  <si>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</si>
  <si>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</si>
  <si>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</si>
  <si>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</si>
  <si>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</si>
  <si>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</si>
  <si>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</si>
  <si>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</si>
  <si>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</si>
  <si>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</si>
  <si>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</si>
  <si>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</si>
  <si>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</si>
  <si>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</si>
  <si>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</si>
  <si>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</si>
  <si>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</si>
  <si>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</si>
  <si>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</si>
  <si>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</si>
  <si>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</si>
  <si>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</si>
  <si>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</si>
  <si>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</si>
  <si>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</si>
  <si>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</si>
  <si>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</si>
  <si>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</si>
  <si>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</si>
  <si>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</si>
  <si>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</si>
  <si>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</si>
  <si>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</si>
  <si>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</si>
  <si>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</si>
  <si>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</si>
  <si>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</si>
  <si>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</si>
  <si>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</si>
  <si>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</si>
  <si>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</si>
  <si>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</si>
  <si>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</si>
  <si>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</si>
  <si>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</si>
  <si>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</si>
  <si>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</si>
  <si>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</si>
  <si>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</si>
  <si>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</si>
  <si>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</si>
  <si>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</si>
  <si>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</si>
  <si>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</si>
  <si>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</si>
  <si>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</si>
  <si>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</si>
  <si>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</si>
  <si>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</si>
  <si>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</si>
  <si>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</si>
  <si>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</si>
  <si>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</si>
  <si>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</si>
  <si>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</si>
  <si>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</si>
  <si>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</si>
  <si>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</si>
  <si>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</si>
  <si>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</si>
  <si>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</si>
  <si>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</si>
  <si>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</si>
  <si>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</si>
  <si>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</si>
  <si>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</si>
  <si>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</si>
  <si>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01/01/2000</t>
  </si>
  <si>
    <t>22/07/2025</t>
  </si>
  <si>
    <t>22/06/2025</t>
  </si>
  <si>
    <t>Manoj@2025</t>
  </si>
  <si>
    <t>Mr</t>
  </si>
  <si>
    <t>demo</t>
  </si>
  <si>
    <t>riomed</t>
  </si>
  <si>
    <t>hrefdemo001</t>
  </si>
  <si>
    <t>Dry Eye Assessment</t>
  </si>
  <si>
    <t>Mayur Rimedtest</t>
  </si>
  <si>
    <t>Abdominal Ultrasound</t>
  </si>
  <si>
    <t>2-4 lifetime SP</t>
  </si>
  <si>
    <t>delete for testing</t>
  </si>
  <si>
    <t>Label</t>
  </si>
  <si>
    <t>Value</t>
  </si>
  <si>
    <t>120</t>
  </si>
  <si>
    <t>80</t>
  </si>
  <si>
    <t>Blood Pressure Systolic (mmHg)</t>
  </si>
  <si>
    <t>125</t>
  </si>
  <si>
    <t>99</t>
  </si>
  <si>
    <t>72</t>
  </si>
  <si>
    <t>Fundal height of uterus</t>
  </si>
  <si>
    <t>68</t>
  </si>
  <si>
    <t>52</t>
  </si>
  <si>
    <t>100</t>
  </si>
  <si>
    <t>PEWS score</t>
  </si>
  <si>
    <t>Respiratory Rate (Breaths per minute)</t>
  </si>
  <si>
    <t>36</t>
  </si>
  <si>
    <t>Temperature</t>
  </si>
  <si>
    <t>Pulse</t>
  </si>
  <si>
    <t>Blood Pressure</t>
  </si>
  <si>
    <t>BP systolic</t>
  </si>
  <si>
    <t>BP diastolic</t>
  </si>
  <si>
    <t>(202) Height(cm)</t>
  </si>
  <si>
    <t>160</t>
  </si>
  <si>
    <t>(203) Weight(kg)</t>
  </si>
  <si>
    <t>Heart Rate (beats per minutes)</t>
  </si>
  <si>
    <t>Nursing Summary</t>
  </si>
  <si>
    <t>96</t>
  </si>
  <si>
    <t>73</t>
  </si>
  <si>
    <t>Apex Beat? (bpm)</t>
  </si>
  <si>
    <t>Urine mls/2 hours</t>
  </si>
  <si>
    <t>Cochlear Implantation (29/10/2025, Left)</t>
  </si>
  <si>
    <t>task_category</t>
  </si>
  <si>
    <t>existing_task_search</t>
  </si>
  <si>
    <t>task_type</t>
  </si>
  <si>
    <t>task_description</t>
  </si>
  <si>
    <t>task_action_perform</t>
  </si>
  <si>
    <t>local_code</t>
  </si>
  <si>
    <t>Abacavir 600mg / Lamivudine 300mg tablets</t>
  </si>
  <si>
    <t>Default</t>
  </si>
  <si>
    <t>Added for testing</t>
  </si>
  <si>
    <t>Review</t>
  </si>
  <si>
    <t>123</t>
  </si>
  <si>
    <t>30/10/2025</t>
  </si>
  <si>
    <t>Updates for testing</t>
  </si>
  <si>
    <t>Add Record</t>
  </si>
  <si>
    <t>456</t>
  </si>
  <si>
    <t>10:00</t>
  </si>
  <si>
    <t>start_date</t>
  </si>
  <si>
    <t>end_date</t>
  </si>
  <si>
    <t>wor_name</t>
  </si>
  <si>
    <t>wor_rename</t>
  </si>
  <si>
    <t>Book New Appointment</t>
  </si>
  <si>
    <t>RFT(Renal Function Tests)</t>
  </si>
  <si>
    <t>Smoking: Current Smoker</t>
  </si>
  <si>
    <t>Malnutrition Universal Screening Tool</t>
  </si>
  <si>
    <t>Past Medical History</t>
  </si>
  <si>
    <t>Hair Loss</t>
  </si>
  <si>
    <t xml:space="preserve">Allergy to house dust mite </t>
  </si>
  <si>
    <t>Sub Category</t>
  </si>
  <si>
    <t>Bladder cancer</t>
  </si>
  <si>
    <t>28-03-2026</t>
  </si>
  <si>
    <t>27-03-2026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</si>
</sst>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  <xf numFmtId="0" fontId="0" fillId="0" borderId="0" xfId="0" quotePrefix="1" applyAlignment="1">
      <alignment vertical="center" wrapText="1"/>
    </xf>
    <xf numFmtId="0" fontId="3" fillId="0" borderId="0" xfId="0" applyFont="1"/>
    <xf numFmtId="20" fontId="0" fillId="0" borderId="0" xfId="0" quotePrefix="1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A2" sqref="A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361</v>
      </c>
      <c r="B2" s="1" t="s">
        <v>633</v>
      </c>
    </row>
    <row r="3" spans="1:2" x14ac:dyDescent="0.25">
      <c r="A3" t="s">
        <v>361</v>
      </c>
      <c r="B3" s="1" t="s">
        <v>633</v>
      </c>
    </row>
  </sheetData>
  <hyperlinks>
    <hyperlink ref="B2" r:id="rId1" xr:uid="{03C77328-BA61-4FC6-A325-FBFA15AC6C52}"/>
    <hyperlink ref="B3" r:id="rId2" xr:uid="{3495FD68-6871-4C81-94B0-46239051574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637</v>
      </c>
      <c r="E2" s="3" t="s">
        <v>634</v>
      </c>
      <c r="F2" s="3" t="s">
        <v>635</v>
      </c>
      <c r="G2" s="3" t="s">
        <v>636</v>
      </c>
      <c r="H2" s="3" t="s">
        <v>421</v>
      </c>
      <c r="I2" s="13" t="s">
        <v>630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418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177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179</v>
      </c>
      <c r="AG1" t="s">
        <v>198</v>
      </c>
    </row>
    <row r="2" spans="1:33" x14ac:dyDescent="0.25">
      <c r="A2" t="s">
        <v>219</v>
      </c>
      <c r="B2" t="s">
        <v>416</v>
      </c>
      <c r="C2" s="5" t="s">
        <v>82</v>
      </c>
      <c r="D2" s="5" t="s">
        <v>627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628</v>
      </c>
      <c r="K2" s="6" t="s">
        <v>629</v>
      </c>
      <c r="L2" t="s">
        <v>175</v>
      </c>
      <c r="O2" t="s">
        <v>83</v>
      </c>
      <c r="P2" t="s">
        <v>98</v>
      </c>
      <c r="Q2" t="s">
        <v>178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176</v>
      </c>
      <c r="AA2" t="s">
        <v>109</v>
      </c>
      <c r="AB2" s="5" t="s">
        <v>113</v>
      </c>
      <c r="AC2">
        <v>5</v>
      </c>
      <c r="AD2" t="s">
        <v>111</v>
      </c>
      <c r="AE2" t="s">
        <v>174</v>
      </c>
      <c r="AF2" t="s">
        <v>180</v>
      </c>
      <c r="AG2" s="8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418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219</v>
      </c>
      <c r="B2" t="str">
        <f>AddMedication!B2</f>
        <v>Paracetamol 500mg / Ibuprofen 200mg tablets</v>
      </c>
      <c r="C2" s="5" t="s">
        <v>113</v>
      </c>
      <c r="D2" s="5" t="s">
        <v>627</v>
      </c>
      <c r="E2" t="s">
        <v>86</v>
      </c>
      <c r="F2" t="s">
        <v>73</v>
      </c>
      <c r="G2" t="s">
        <v>73</v>
      </c>
      <c r="H2" s="5" t="s">
        <v>183</v>
      </c>
      <c r="I2" s="5" t="s">
        <v>113</v>
      </c>
      <c r="J2" s="6" t="s">
        <v>181</v>
      </c>
      <c r="K2" s="6" t="s">
        <v>182</v>
      </c>
      <c r="L2" t="s">
        <v>89</v>
      </c>
      <c r="O2" t="s">
        <v>87</v>
      </c>
      <c r="P2" t="s">
        <v>88</v>
      </c>
      <c r="Q2" t="s">
        <v>174</v>
      </c>
      <c r="R2" t="s">
        <v>93</v>
      </c>
      <c r="S2" s="5" t="s">
        <v>113</v>
      </c>
      <c r="T2" s="5" t="s">
        <v>185</v>
      </c>
      <c r="U2" t="s">
        <v>184</v>
      </c>
      <c r="V2" t="s">
        <v>186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C2" sqref="C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214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197</v>
      </c>
      <c r="B2" t="s">
        <v>213</v>
      </c>
      <c r="C2" t="s">
        <v>638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F23" sqref="F23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197</v>
      </c>
      <c r="B2" t="s">
        <v>638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197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214</v>
      </c>
      <c r="C1" t="s">
        <v>68</v>
      </c>
      <c r="D1" t="s">
        <v>126</v>
      </c>
      <c r="E1" t="s">
        <v>164</v>
      </c>
      <c r="F1" t="s">
        <v>166</v>
      </c>
    </row>
    <row r="2" spans="1:6" x14ac:dyDescent="0.25">
      <c r="A2" t="s">
        <v>218</v>
      </c>
      <c r="B2" t="s">
        <v>217</v>
      </c>
      <c r="C2" t="s">
        <v>125</v>
      </c>
      <c r="D2" t="s">
        <v>130</v>
      </c>
      <c r="E2" s="6" t="s">
        <v>165</v>
      </c>
      <c r="F2" t="s">
        <v>167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164</v>
      </c>
      <c r="E1" t="s">
        <v>166</v>
      </c>
    </row>
    <row r="2" spans="1:5" x14ac:dyDescent="0.25">
      <c r="A2" t="s">
        <v>218</v>
      </c>
      <c r="B2" t="s">
        <v>125</v>
      </c>
      <c r="C2" t="s">
        <v>130</v>
      </c>
      <c r="D2" s="6" t="s">
        <v>165</v>
      </c>
      <c r="E2" t="s">
        <v>168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218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144</v>
      </c>
      <c r="F1" t="s">
        <v>145</v>
      </c>
      <c r="G1" t="s">
        <v>146</v>
      </c>
      <c r="H1" t="s">
        <v>126</v>
      </c>
      <c r="I1" t="s">
        <v>128</v>
      </c>
    </row>
    <row r="2" spans="1:9" ht="30" x14ac:dyDescent="0.25">
      <c r="A2" t="s">
        <v>147</v>
      </c>
      <c r="B2" t="s">
        <v>148</v>
      </c>
      <c r="C2" s="8">
        <v>45420</v>
      </c>
      <c r="D2" s="7" t="s">
        <v>135</v>
      </c>
      <c r="E2" s="9" t="s">
        <v>216</v>
      </c>
      <c r="F2" s="5" t="s">
        <v>215</v>
      </c>
      <c r="G2" s="3" t="s">
        <v>149</v>
      </c>
      <c r="H2" t="s">
        <v>150</v>
      </c>
      <c r="I2" t="s">
        <v>151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144</v>
      </c>
      <c r="F1" t="s">
        <v>145</v>
      </c>
      <c r="G1" t="s">
        <v>146</v>
      </c>
      <c r="H1" t="s">
        <v>126</v>
      </c>
      <c r="I1" t="s">
        <v>128</v>
      </c>
    </row>
    <row r="2" spans="1:9" x14ac:dyDescent="0.25">
      <c r="A2" t="s">
        <v>147</v>
      </c>
      <c r="B2" t="s">
        <v>148</v>
      </c>
      <c r="C2" s="9" t="s">
        <v>156</v>
      </c>
      <c r="D2" s="7" t="s">
        <v>152</v>
      </c>
      <c r="E2" s="9" t="s">
        <v>160</v>
      </c>
      <c r="F2" s="5" t="s">
        <v>82</v>
      </c>
      <c r="G2" s="3" t="s">
        <v>153</v>
      </c>
      <c r="H2" t="s">
        <v>154</v>
      </c>
      <c r="I2" t="s">
        <v>155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148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I2" sqref="I2:K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9" width="19.28515625" customWidth="1"/>
    <col min="10" max="10" width="18.5703125" customWidth="1"/>
    <col min="11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136</v>
      </c>
      <c r="F1" t="s">
        <v>137</v>
      </c>
      <c r="G1" t="s">
        <v>138</v>
      </c>
      <c r="H1" t="s">
        <v>139</v>
      </c>
      <c r="I1" t="s">
        <v>141</v>
      </c>
      <c r="J1" t="s">
        <v>140</v>
      </c>
      <c r="K1" t="s">
        <v>142</v>
      </c>
      <c r="L1" t="s">
        <v>143</v>
      </c>
      <c r="M1" t="s">
        <v>188</v>
      </c>
      <c r="N1" t="s">
        <v>198</v>
      </c>
    </row>
    <row r="2" spans="1:14" ht="18.75" customHeight="1" x14ac:dyDescent="0.25">
      <c r="A2" t="s">
        <v>133</v>
      </c>
      <c r="B2" t="s">
        <v>701</v>
      </c>
      <c r="C2" t="s">
        <v>134</v>
      </c>
      <c r="D2" t="s">
        <v>135</v>
      </c>
      <c r="E2" t="s">
        <v>208</v>
      </c>
      <c r="F2" t="s">
        <v>157</v>
      </c>
      <c r="G2" t="s">
        <v>158</v>
      </c>
      <c r="I2" s="9" t="s">
        <v>703</v>
      </c>
      <c r="J2" s="9" t="s">
        <v>702</v>
      </c>
      <c r="K2" s="9" t="s">
        <v>703</v>
      </c>
      <c r="L2" t="s">
        <v>414</v>
      </c>
      <c r="M2" t="s">
        <v>187</v>
      </c>
      <c r="N2" s="8" t="s">
        <v>199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tabSelected="1" workbookViewId="0">
      <selection activeCell="I2" sqref="I2:K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136</v>
      </c>
      <c r="F1" t="s">
        <v>137</v>
      </c>
      <c r="G1" t="s">
        <v>138</v>
      </c>
      <c r="H1" t="s">
        <v>139</v>
      </c>
      <c r="I1" t="s">
        <v>141</v>
      </c>
      <c r="J1" t="s">
        <v>140</v>
      </c>
      <c r="K1" t="s">
        <v>142</v>
      </c>
      <c r="L1" t="s">
        <v>143</v>
      </c>
    </row>
    <row r="2" spans="1:12" ht="18.75" customHeight="1" x14ac:dyDescent="0.25">
      <c r="A2" t="s">
        <v>133</v>
      </c>
      <c r="B2" t="s">
        <v>701</v>
      </c>
      <c r="C2" t="s">
        <v>134</v>
      </c>
      <c r="D2" t="s">
        <v>135</v>
      </c>
      <c r="E2" t="s">
        <v>161</v>
      </c>
      <c r="F2" t="s">
        <v>162</v>
      </c>
      <c r="G2" t="s">
        <v>163</v>
      </c>
      <c r="I2" s="9" t="s">
        <v>703</v>
      </c>
      <c r="J2" s="9" t="s">
        <v>702</v>
      </c>
      <c r="K2" s="9" t="s">
        <v>703</v>
      </c>
      <c r="L2" t="s">
        <v>159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A2" sqref="A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701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170</v>
      </c>
      <c r="D1" t="s">
        <v>132</v>
      </c>
      <c r="E1" t="s">
        <v>171</v>
      </c>
      <c r="F1" t="s">
        <v>126</v>
      </c>
    </row>
    <row r="2" spans="1:6" ht="18.75" customHeight="1" x14ac:dyDescent="0.25">
      <c r="A2" t="s">
        <v>169</v>
      </c>
      <c r="B2" t="s">
        <v>359</v>
      </c>
      <c r="C2" t="s">
        <v>131</v>
      </c>
      <c r="D2" s="7">
        <v>45453</v>
      </c>
      <c r="E2" s="3" t="s">
        <v>119</v>
      </c>
      <c r="F2" t="s">
        <v>172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170</v>
      </c>
      <c r="D1" t="s">
        <v>132</v>
      </c>
      <c r="E1" t="s">
        <v>171</v>
      </c>
      <c r="F1" t="s">
        <v>126</v>
      </c>
    </row>
    <row r="2" spans="1:6" ht="18.75" customHeight="1" x14ac:dyDescent="0.25">
      <c r="A2" t="s">
        <v>169</v>
      </c>
      <c r="B2" t="s">
        <v>359</v>
      </c>
      <c r="C2" t="s">
        <v>117</v>
      </c>
      <c r="D2" s="7">
        <v>45453</v>
      </c>
      <c r="E2" s="3" t="s">
        <v>173</v>
      </c>
      <c r="F2" t="s">
        <v>172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169</v>
      </c>
      <c r="B2" t="s">
        <v>359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190</v>
      </c>
      <c r="D1" t="s">
        <v>132</v>
      </c>
      <c r="E1" t="s">
        <v>189</v>
      </c>
      <c r="F1" t="s">
        <v>126</v>
      </c>
      <c r="G1" t="s">
        <v>194</v>
      </c>
      <c r="H1" t="s">
        <v>193</v>
      </c>
    </row>
    <row r="2" spans="1:9" ht="18.75" customHeight="1" x14ac:dyDescent="0.25">
      <c r="A2" t="s">
        <v>191</v>
      </c>
      <c r="B2" t="s">
        <v>699</v>
      </c>
      <c r="C2" t="s">
        <v>162</v>
      </c>
      <c r="D2" s="6" t="str">
        <f ca="1">TEXT(TODAY(), "DD/MM/YYYY")</f>
        <v>28/03/2026</v>
      </c>
      <c r="E2" s="3" t="s">
        <v>195</v>
      </c>
      <c r="F2" t="s">
        <v>192</v>
      </c>
      <c r="G2" s="9" t="s">
        <v>277</v>
      </c>
      <c r="H2" s="9" t="s">
        <v>278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190</v>
      </c>
      <c r="D1" t="s">
        <v>132</v>
      </c>
      <c r="E1" t="s">
        <v>189</v>
      </c>
      <c r="F1" t="s">
        <v>126</v>
      </c>
      <c r="G1" t="s">
        <v>194</v>
      </c>
      <c r="H1" t="s">
        <v>193</v>
      </c>
    </row>
    <row r="2" spans="1:8" ht="18.75" customHeight="1" x14ac:dyDescent="0.25">
      <c r="A2" t="s">
        <v>191</v>
      </c>
      <c r="B2" t="s">
        <v>699</v>
      </c>
      <c r="C2" t="s">
        <v>162</v>
      </c>
      <c r="D2" s="6" t="str">
        <f ca="1">TEXT(TODAY(), "DD/MM/YYYY")</f>
        <v>28/03/2026</v>
      </c>
      <c r="E2" s="3" t="s">
        <v>196</v>
      </c>
      <c r="F2" t="s">
        <v>192</v>
      </c>
      <c r="G2" s="6" t="s">
        <v>278</v>
      </c>
      <c r="H2" s="6" t="s">
        <v>279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191</v>
      </c>
      <c r="B2" t="s">
        <v>699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211</v>
      </c>
      <c r="D1" t="s">
        <v>204</v>
      </c>
      <c r="E1" t="s">
        <v>205</v>
      </c>
      <c r="F1" t="s">
        <v>206</v>
      </c>
      <c r="G1" t="s">
        <v>210</v>
      </c>
      <c r="H1" t="s">
        <v>207</v>
      </c>
      <c r="I1" t="s">
        <v>94</v>
      </c>
      <c r="J1" t="s">
        <v>126</v>
      </c>
      <c r="K1" t="s">
        <v>198</v>
      </c>
      <c r="L1" t="s">
        <v>201</v>
      </c>
      <c r="M1" t="s">
        <v>202</v>
      </c>
      <c r="N1" t="s">
        <v>198</v>
      </c>
    </row>
    <row r="2" spans="1:14" ht="18.75" customHeight="1" x14ac:dyDescent="0.25">
      <c r="A2" t="s">
        <v>209</v>
      </c>
      <c r="B2" t="s">
        <v>417</v>
      </c>
      <c r="C2" s="6" t="s">
        <v>360</v>
      </c>
      <c r="D2" s="6" t="s">
        <v>360</v>
      </c>
      <c r="E2" s="6" t="s">
        <v>103</v>
      </c>
      <c r="F2" s="6" t="s">
        <v>299</v>
      </c>
      <c r="G2" s="3" t="s">
        <v>212</v>
      </c>
      <c r="H2" s="3" t="s">
        <v>208</v>
      </c>
      <c r="I2" s="3" t="s">
        <v>203</v>
      </c>
      <c r="J2" t="s">
        <v>200</v>
      </c>
      <c r="K2" s="7" t="s">
        <v>199</v>
      </c>
      <c r="L2" t="s">
        <v>117</v>
      </c>
      <c r="M2" t="s">
        <v>203</v>
      </c>
      <c r="N2" s="8" t="s">
        <v>199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204</v>
      </c>
      <c r="D1" t="s">
        <v>205</v>
      </c>
      <c r="E1" t="s">
        <v>206</v>
      </c>
      <c r="F1" t="s">
        <v>210</v>
      </c>
      <c r="G1" t="s">
        <v>207</v>
      </c>
      <c r="H1" t="s">
        <v>94</v>
      </c>
      <c r="I1" t="s">
        <v>126</v>
      </c>
      <c r="J1" t="s">
        <v>198</v>
      </c>
      <c r="K1" t="s">
        <v>201</v>
      </c>
      <c r="L1" t="s">
        <v>202</v>
      </c>
    </row>
    <row r="2" spans="1:12" ht="18.75" customHeight="1" x14ac:dyDescent="0.25">
      <c r="A2" t="s">
        <v>209</v>
      </c>
      <c r="B2" t="s">
        <v>417</v>
      </c>
      <c r="C2" s="6">
        <f ca="1">TODAY()</f>
        <v>46109</v>
      </c>
      <c r="D2" s="6" t="s">
        <v>103</v>
      </c>
      <c r="E2" s="6" t="s">
        <v>299</v>
      </c>
      <c r="F2" s="3" t="s">
        <v>212</v>
      </c>
      <c r="G2" s="3" t="s">
        <v>208</v>
      </c>
      <c r="H2" s="3" t="s">
        <v>203</v>
      </c>
      <c r="I2" t="s">
        <v>200</v>
      </c>
      <c r="J2" s="7" t="s">
        <v>199</v>
      </c>
      <c r="K2" t="s">
        <v>117</v>
      </c>
      <c r="L2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209</v>
      </c>
      <c r="B2" t="s">
        <v>417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221</v>
      </c>
      <c r="G1" t="s">
        <v>128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75" x14ac:dyDescent="0.25">
      <c r="A2" t="s">
        <v>228</v>
      </c>
      <c r="B2" t="s">
        <v>640</v>
      </c>
      <c r="C2" s="7" t="s">
        <v>135</v>
      </c>
      <c r="D2" s="3" t="s">
        <v>229</v>
      </c>
      <c r="E2" t="s">
        <v>230</v>
      </c>
      <c r="F2" t="s">
        <v>231</v>
      </c>
      <c r="G2">
        <v>57749615244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128</v>
      </c>
      <c r="G1" s="10" t="s">
        <v>221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30" x14ac:dyDescent="0.25">
      <c r="A2" t="s">
        <v>228</v>
      </c>
      <c r="B2" t="s">
        <v>640</v>
      </c>
      <c r="C2" s="7" t="s">
        <v>135</v>
      </c>
      <c r="D2" s="3" t="s">
        <v>235</v>
      </c>
      <c r="E2" t="s">
        <v>230</v>
      </c>
      <c r="F2">
        <v>57749615244</v>
      </c>
      <c r="G2" s="10" t="s">
        <v>231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A2" sqref="A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640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5.7109375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698</v>
      </c>
      <c r="C2" s="7" t="s">
        <v>135</v>
      </c>
      <c r="D2" s="3" t="s">
        <v>243</v>
      </c>
      <c r="E2" t="s">
        <v>244</v>
      </c>
      <c r="F2" s="11" t="s">
        <v>245</v>
      </c>
      <c r="G2" t="s">
        <v>246</v>
      </c>
      <c r="H2" s="11" t="s">
        <v>247</v>
      </c>
      <c r="I2" s="11" t="s">
        <v>248</v>
      </c>
      <c r="J2" s="11" t="s">
        <v>157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698</v>
      </c>
      <c r="C2" s="7" t="s">
        <v>135</v>
      </c>
      <c r="D2" s="3" t="s">
        <v>249</v>
      </c>
      <c r="E2" t="s">
        <v>244</v>
      </c>
      <c r="F2" s="11" t="s">
        <v>250</v>
      </c>
      <c r="G2" t="s">
        <v>246</v>
      </c>
      <c r="H2" s="11" t="s">
        <v>251</v>
      </c>
      <c r="I2" s="11" t="s">
        <v>252</v>
      </c>
      <c r="J2" s="11" t="s">
        <v>162</v>
      </c>
      <c r="K2" s="11" t="s">
        <v>176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698</v>
      </c>
      <c r="B2" t="s">
        <v>253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E2" sqref="E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254</v>
      </c>
      <c r="E1" t="s">
        <v>126</v>
      </c>
      <c r="F1" t="s">
        <v>128</v>
      </c>
    </row>
    <row r="2" spans="1:6" ht="30" x14ac:dyDescent="0.25">
      <c r="A2" t="s">
        <v>255</v>
      </c>
      <c r="B2" t="s">
        <v>255</v>
      </c>
      <c r="C2" s="7" t="s">
        <v>135</v>
      </c>
      <c r="D2" s="3" t="s">
        <v>256</v>
      </c>
      <c r="E2" t="s">
        <v>700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254</v>
      </c>
      <c r="D1" t="s">
        <v>126</v>
      </c>
    </row>
    <row r="2" spans="1:4" x14ac:dyDescent="0.25">
      <c r="A2" t="s">
        <v>255</v>
      </c>
      <c r="B2" t="s">
        <v>255</v>
      </c>
      <c r="C2" s="3" t="s">
        <v>257</v>
      </c>
      <c r="D2" t="s">
        <v>700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255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262</v>
      </c>
      <c r="D1" t="s">
        <v>126</v>
      </c>
    </row>
    <row r="2" spans="1:4" ht="45" x14ac:dyDescent="0.25">
      <c r="A2" t="s">
        <v>263</v>
      </c>
      <c r="B2" t="s">
        <v>258</v>
      </c>
      <c r="C2" s="3" t="s">
        <v>259</v>
      </c>
      <c r="D2" t="s">
        <v>260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262</v>
      </c>
      <c r="D1" t="s">
        <v>126</v>
      </c>
    </row>
    <row r="2" spans="1:4" ht="45" x14ac:dyDescent="0.25">
      <c r="A2" t="s">
        <v>263</v>
      </c>
      <c r="B2" t="s">
        <v>258</v>
      </c>
      <c r="C2" s="3" t="s">
        <v>261</v>
      </c>
      <c r="D2" t="s">
        <v>260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263</v>
      </c>
      <c r="B2" t="s">
        <v>258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126</v>
      </c>
    </row>
    <row r="2" spans="1:4" ht="30" x14ac:dyDescent="0.25">
      <c r="A2" t="s">
        <v>268</v>
      </c>
      <c r="B2" s="5" t="s">
        <v>641</v>
      </c>
      <c r="C2" s="3" t="s">
        <v>266</v>
      </c>
      <c r="D2" t="s">
        <v>265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126</v>
      </c>
    </row>
    <row r="2" spans="1:4" ht="30" x14ac:dyDescent="0.25">
      <c r="A2" t="s">
        <v>268</v>
      </c>
      <c r="B2" s="5" t="s">
        <v>641</v>
      </c>
      <c r="C2" s="3" t="s">
        <v>269</v>
      </c>
      <c r="D2" t="s">
        <v>265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s="5" t="s">
        <v>641</v>
      </c>
      <c r="C2" t="s">
        <v>270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126</v>
      </c>
    </row>
    <row r="2" spans="1:4" ht="30" x14ac:dyDescent="0.25">
      <c r="A2" t="s">
        <v>273</v>
      </c>
      <c r="B2" t="s">
        <v>695</v>
      </c>
      <c r="C2" s="3" t="s">
        <v>275</v>
      </c>
      <c r="D2" t="s">
        <v>271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126</v>
      </c>
    </row>
    <row r="2" spans="1:4" ht="30" x14ac:dyDescent="0.25">
      <c r="A2" t="s">
        <v>273</v>
      </c>
      <c r="B2" t="s">
        <v>695</v>
      </c>
      <c r="C2" s="3" t="s">
        <v>274</v>
      </c>
      <c r="D2" t="s">
        <v>271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273</v>
      </c>
      <c r="B2" t="s">
        <v>695</v>
      </c>
      <c r="C2" t="s">
        <v>276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282</v>
      </c>
      <c r="D1" t="s">
        <v>126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  <c r="L1" t="s">
        <v>290</v>
      </c>
      <c r="M1" t="s">
        <v>291</v>
      </c>
      <c r="N1" t="s">
        <v>292</v>
      </c>
      <c r="O1" t="s">
        <v>293</v>
      </c>
      <c r="P1" t="s">
        <v>294</v>
      </c>
      <c r="Q1" t="s">
        <v>295</v>
      </c>
    </row>
    <row r="2" spans="1:17" x14ac:dyDescent="0.25">
      <c r="A2" t="s">
        <v>280</v>
      </c>
      <c r="B2" t="s">
        <v>694</v>
      </c>
      <c r="C2" s="3" t="s">
        <v>203</v>
      </c>
      <c r="D2" t="s">
        <v>281</v>
      </c>
      <c r="F2" t="s">
        <v>304</v>
      </c>
      <c r="G2" t="s">
        <v>303</v>
      </c>
      <c r="H2" t="s">
        <v>131</v>
      </c>
      <c r="I2" t="s">
        <v>100</v>
      </c>
      <c r="J2" s="5" t="s">
        <v>302</v>
      </c>
      <c r="K2" t="s">
        <v>98</v>
      </c>
      <c r="L2" s="5" t="s">
        <v>301</v>
      </c>
      <c r="M2" s="5" t="s">
        <v>300</v>
      </c>
      <c r="N2" t="s">
        <v>299</v>
      </c>
      <c r="O2" t="s">
        <v>298</v>
      </c>
      <c r="P2" t="s">
        <v>297</v>
      </c>
      <c r="Q2" t="s">
        <v>296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282</v>
      </c>
      <c r="D1" t="s">
        <v>126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  <c r="L1" t="s">
        <v>290</v>
      </c>
      <c r="M1" t="s">
        <v>291</v>
      </c>
      <c r="N1" t="s">
        <v>292</v>
      </c>
      <c r="O1" t="s">
        <v>293</v>
      </c>
      <c r="P1" t="s">
        <v>294</v>
      </c>
      <c r="Q1" t="s">
        <v>295</v>
      </c>
      <c r="R1" t="s">
        <v>308</v>
      </c>
      <c r="S1" t="s">
        <v>309</v>
      </c>
      <c r="T1" t="s">
        <v>310</v>
      </c>
      <c r="U1" t="s">
        <v>310</v>
      </c>
    </row>
    <row r="2" spans="1:21" x14ac:dyDescent="0.25">
      <c r="A2" t="s">
        <v>280</v>
      </c>
      <c r="B2" t="s">
        <v>694</v>
      </c>
      <c r="C2" s="3" t="s">
        <v>305</v>
      </c>
      <c r="D2" t="s">
        <v>281</v>
      </c>
      <c r="F2" t="s">
        <v>304</v>
      </c>
      <c r="G2" t="s">
        <v>306</v>
      </c>
      <c r="H2" t="s">
        <v>131</v>
      </c>
      <c r="I2" t="s">
        <v>100</v>
      </c>
      <c r="J2" s="5" t="s">
        <v>302</v>
      </c>
      <c r="K2" t="s">
        <v>98</v>
      </c>
      <c r="L2" s="5" t="s">
        <v>301</v>
      </c>
      <c r="M2" s="5" t="s">
        <v>300</v>
      </c>
      <c r="N2" t="s">
        <v>299</v>
      </c>
      <c r="O2" t="s">
        <v>298</v>
      </c>
      <c r="P2" t="s">
        <v>297</v>
      </c>
      <c r="Q2" t="s">
        <v>307</v>
      </c>
      <c r="R2" s="5" t="s">
        <v>311</v>
      </c>
      <c r="S2" s="5" t="s">
        <v>312</v>
      </c>
      <c r="T2" s="5" t="s">
        <v>311</v>
      </c>
      <c r="U2" s="5" t="s">
        <v>313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314</v>
      </c>
      <c r="D1" t="s">
        <v>132</v>
      </c>
      <c r="E1" t="s">
        <v>315</v>
      </c>
      <c r="F1" t="s">
        <v>126</v>
      </c>
    </row>
    <row r="2" spans="1:6" ht="34.5" customHeight="1" x14ac:dyDescent="0.25">
      <c r="A2" t="s">
        <v>697</v>
      </c>
      <c r="B2" t="s">
        <v>316</v>
      </c>
      <c r="C2" s="6" t="s">
        <v>632</v>
      </c>
      <c r="D2" s="6" t="s">
        <v>631</v>
      </c>
      <c r="E2" s="3" t="s">
        <v>319</v>
      </c>
      <c r="F2" t="s">
        <v>320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314</v>
      </c>
      <c r="D1" t="s">
        <v>132</v>
      </c>
      <c r="E1" t="s">
        <v>315</v>
      </c>
      <c r="F1" t="s">
        <v>126</v>
      </c>
    </row>
    <row r="2" spans="1:6" ht="18.75" customHeight="1" x14ac:dyDescent="0.25">
      <c r="A2" t="s">
        <v>697</v>
      </c>
      <c r="B2" t="s">
        <v>316</v>
      </c>
      <c r="C2" s="6" t="s">
        <v>317</v>
      </c>
      <c r="D2" s="6" t="s">
        <v>318</v>
      </c>
      <c r="E2" s="3" t="s">
        <v>321</v>
      </c>
      <c r="F2" t="s">
        <v>320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697</v>
      </c>
      <c r="B2" t="s">
        <v>316</v>
      </c>
      <c r="C2" t="s">
        <v>642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322</v>
      </c>
    </row>
    <row r="2" spans="1:4" x14ac:dyDescent="0.25">
      <c r="A2" t="s">
        <v>323</v>
      </c>
      <c r="B2" s="5" t="s">
        <v>324</v>
      </c>
      <c r="C2" t="s">
        <v>325</v>
      </c>
      <c r="D2" t="s">
        <v>326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322</v>
      </c>
    </row>
    <row r="2" spans="1:4" x14ac:dyDescent="0.25">
      <c r="A2" t="s">
        <v>323</v>
      </c>
      <c r="B2" s="5" t="s">
        <v>324</v>
      </c>
      <c r="C2" t="s">
        <v>325</v>
      </c>
      <c r="D2" t="s">
        <v>326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323</v>
      </c>
      <c r="B2" s="5" t="s">
        <v>324</v>
      </c>
      <c r="C2" s="5" t="s">
        <v>327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E21" sqref="E21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21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  <c r="G1" t="s">
        <v>328</v>
      </c>
      <c r="H1" t="s">
        <v>329</v>
      </c>
      <c r="I1" t="s">
        <v>330</v>
      </c>
      <c r="J1" t="s">
        <v>331</v>
      </c>
      <c r="K1" t="s">
        <v>332</v>
      </c>
      <c r="L1" t="s">
        <v>333</v>
      </c>
      <c r="M1" t="s">
        <v>334</v>
      </c>
      <c r="N1" t="s">
        <v>335</v>
      </c>
      <c r="O1" t="s">
        <v>336</v>
      </c>
      <c r="P1" t="s">
        <v>337</v>
      </c>
      <c r="Q1" t="s">
        <v>338</v>
      </c>
      <c r="R1" t="s">
        <v>339</v>
      </c>
      <c r="S1" t="s">
        <v>340</v>
      </c>
      <c r="T1" t="s">
        <v>341</v>
      </c>
      <c r="U1" t="s">
        <v>342</v>
      </c>
    </row>
    <row r="2" spans="1:21" x14ac:dyDescent="0.25">
      <c r="A2" t="s">
        <v>219</v>
      </c>
      <c r="B2" t="s">
        <v>679</v>
      </c>
      <c r="C2" t="s">
        <v>680</v>
      </c>
      <c r="D2" t="s">
        <v>681</v>
      </c>
      <c r="E2" t="s">
        <v>682</v>
      </c>
      <c r="F2" s="5" t="s">
        <v>683</v>
      </c>
      <c r="G2" t="s">
        <v>343</v>
      </c>
      <c r="H2" s="9" t="s">
        <v>684</v>
      </c>
      <c r="I2" s="16" t="s">
        <v>344</v>
      </c>
      <c r="J2" s="16" t="s">
        <v>345</v>
      </c>
      <c r="K2" s="16" t="s">
        <v>346</v>
      </c>
      <c r="L2" t="s">
        <v>347</v>
      </c>
      <c r="M2" t="s">
        <v>358</v>
      </c>
      <c r="N2" t="s">
        <v>98</v>
      </c>
      <c r="O2" t="s">
        <v>348</v>
      </c>
      <c r="P2" t="s">
        <v>349</v>
      </c>
      <c r="Q2" t="s">
        <v>350</v>
      </c>
      <c r="R2" t="s">
        <v>351</v>
      </c>
      <c r="S2" s="5" t="s">
        <v>313</v>
      </c>
      <c r="T2" s="5" t="s">
        <v>352</v>
      </c>
      <c r="U2" t="s">
        <v>353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J17" sqref="J17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8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  <c r="G1" t="s">
        <v>328</v>
      </c>
      <c r="H1" t="s">
        <v>354</v>
      </c>
      <c r="I1" t="s">
        <v>355</v>
      </c>
      <c r="J1" t="s">
        <v>333</v>
      </c>
      <c r="K1" t="s">
        <v>334</v>
      </c>
      <c r="L1" t="s">
        <v>335</v>
      </c>
      <c r="M1" t="s">
        <v>336</v>
      </c>
      <c r="N1" t="s">
        <v>356</v>
      </c>
      <c r="O1" t="s">
        <v>295</v>
      </c>
      <c r="P1" t="s">
        <v>340</v>
      </c>
      <c r="Q1" t="s">
        <v>341</v>
      </c>
      <c r="R1" t="s">
        <v>342</v>
      </c>
    </row>
    <row r="2" spans="1:18" x14ac:dyDescent="0.25">
      <c r="A2" t="s">
        <v>219</v>
      </c>
      <c r="B2" t="s">
        <v>679</v>
      </c>
      <c r="C2" t="s">
        <v>680</v>
      </c>
      <c r="D2" t="s">
        <v>685</v>
      </c>
      <c r="E2" t="s">
        <v>686</v>
      </c>
      <c r="F2" s="5" t="s">
        <v>687</v>
      </c>
      <c r="G2" t="s">
        <v>343</v>
      </c>
      <c r="H2" s="9" t="s">
        <v>684</v>
      </c>
      <c r="I2" s="16" t="s">
        <v>688</v>
      </c>
      <c r="J2" t="s">
        <v>347</v>
      </c>
      <c r="K2" t="s">
        <v>358</v>
      </c>
      <c r="L2" t="s">
        <v>98</v>
      </c>
      <c r="M2" t="s">
        <v>348</v>
      </c>
      <c r="N2" t="s">
        <v>350</v>
      </c>
      <c r="O2" t="s">
        <v>357</v>
      </c>
      <c r="P2" s="5" t="s">
        <v>313</v>
      </c>
      <c r="Q2" s="5" t="s">
        <v>352</v>
      </c>
      <c r="R2" t="s">
        <v>353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022D-C09C-44EA-A274-C9142C1EEE6A}">
  <dimension ref="A1:K2"/>
  <sheetViews>
    <sheetView workbookViewId="0">
      <selection activeCell="J14" sqref="J14"/>
    </sheetView>
  </sheetViews>
  <sheetFormatPr defaultRowHeight="15" x14ac:dyDescent="0.25"/>
  <sheetData>
    <row r="1" spans="1:11" x14ac:dyDescent="0.25">
      <c r="A1" t="s">
        <v>689</v>
      </c>
      <c r="B1" t="s">
        <v>690</v>
      </c>
      <c r="C1" t="s">
        <v>355</v>
      </c>
      <c r="D1" t="s">
        <v>295</v>
      </c>
      <c r="E1" t="s">
        <v>691</v>
      </c>
      <c r="F1" t="s">
        <v>692</v>
      </c>
      <c r="G1" t="s">
        <v>356</v>
      </c>
      <c r="H1" t="s">
        <v>295</v>
      </c>
      <c r="I1" t="s">
        <v>340</v>
      </c>
      <c r="J1" t="s">
        <v>341</v>
      </c>
      <c r="K1" t="s">
        <v>342</v>
      </c>
    </row>
    <row r="2" spans="1:11" x14ac:dyDescent="0.25">
      <c r="A2" s="7">
        <v>45575</v>
      </c>
      <c r="B2" s="7">
        <v>45585</v>
      </c>
      <c r="C2" s="17">
        <v>0.45833333333333331</v>
      </c>
      <c r="D2" t="s">
        <v>347</v>
      </c>
      <c r="E2" t="s">
        <v>693</v>
      </c>
      <c r="F2" t="s">
        <v>693</v>
      </c>
      <c r="G2" t="s">
        <v>350</v>
      </c>
      <c r="H2" t="s">
        <v>357</v>
      </c>
      <c r="I2">
        <v>8</v>
      </c>
      <c r="J2">
        <v>70</v>
      </c>
      <c r="K2" t="s">
        <v>353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375</v>
      </c>
      <c r="J1" t="s">
        <v>377</v>
      </c>
      <c r="K1" t="s">
        <v>379</v>
      </c>
      <c r="L1" t="s">
        <v>381</v>
      </c>
      <c r="M1" t="s">
        <v>383</v>
      </c>
      <c r="N1" t="s">
        <v>385</v>
      </c>
      <c r="O1" t="s">
        <v>386</v>
      </c>
    </row>
    <row r="2" spans="1:16" x14ac:dyDescent="0.25">
      <c r="A2" t="s">
        <v>388</v>
      </c>
      <c r="B2" t="s">
        <v>362</v>
      </c>
      <c r="C2" t="s">
        <v>369</v>
      </c>
      <c r="D2" t="s">
        <v>370</v>
      </c>
      <c r="E2" t="s">
        <v>371</v>
      </c>
      <c r="F2" t="s">
        <v>372</v>
      </c>
      <c r="G2" t="s">
        <v>373</v>
      </c>
      <c r="H2" t="s">
        <v>374</v>
      </c>
      <c r="I2" t="s">
        <v>376</v>
      </c>
      <c r="J2" t="s">
        <v>378</v>
      </c>
      <c r="K2" t="s">
        <v>380</v>
      </c>
      <c r="L2" t="s">
        <v>382</v>
      </c>
      <c r="M2" t="s">
        <v>384</v>
      </c>
      <c r="N2" t="s">
        <v>389</v>
      </c>
      <c r="O2" t="s">
        <v>387</v>
      </c>
      <c r="P2" t="s">
        <v>387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375</v>
      </c>
      <c r="J1" t="s">
        <v>377</v>
      </c>
      <c r="K1" t="s">
        <v>379</v>
      </c>
      <c r="L1" t="s">
        <v>381</v>
      </c>
      <c r="M1" t="s">
        <v>383</v>
      </c>
      <c r="N1" t="s">
        <v>385</v>
      </c>
      <c r="O1" t="s">
        <v>386</v>
      </c>
    </row>
    <row r="2" spans="1:16" x14ac:dyDescent="0.25">
      <c r="A2" t="s">
        <v>388</v>
      </c>
      <c r="B2" t="s">
        <v>362</v>
      </c>
      <c r="C2" t="s">
        <v>369</v>
      </c>
      <c r="D2" t="s">
        <v>370</v>
      </c>
      <c r="E2" t="s">
        <v>390</v>
      </c>
      <c r="F2" t="s">
        <v>372</v>
      </c>
      <c r="G2" t="s">
        <v>373</v>
      </c>
      <c r="H2" t="s">
        <v>391</v>
      </c>
      <c r="I2" t="s">
        <v>376</v>
      </c>
      <c r="J2" t="s">
        <v>378</v>
      </c>
      <c r="K2" t="s">
        <v>392</v>
      </c>
      <c r="L2" t="s">
        <v>382</v>
      </c>
      <c r="M2" t="s">
        <v>384</v>
      </c>
      <c r="N2" t="s">
        <v>393</v>
      </c>
      <c r="O2" t="s">
        <v>387</v>
      </c>
      <c r="P2" t="s">
        <v>387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394</v>
      </c>
      <c r="B1" t="s">
        <v>395</v>
      </c>
      <c r="C1" t="s">
        <v>396</v>
      </c>
      <c r="D1" t="s">
        <v>397</v>
      </c>
      <c r="E1" t="s">
        <v>398</v>
      </c>
      <c r="F1" t="s">
        <v>399</v>
      </c>
      <c r="G1" t="s">
        <v>402</v>
      </c>
      <c r="H1" t="s">
        <v>403</v>
      </c>
      <c r="I1" t="s">
        <v>404</v>
      </c>
      <c r="J1" t="s">
        <v>405</v>
      </c>
      <c r="K1" t="s">
        <v>406</v>
      </c>
      <c r="L1" t="s">
        <v>412</v>
      </c>
    </row>
    <row r="2" spans="1:12" x14ac:dyDescent="0.25">
      <c r="A2" s="6" t="s">
        <v>410</v>
      </c>
      <c r="B2" s="7" t="str">
        <f ca="1">TEXT(TODAY(), "DD/MM/YYYY")</f>
        <v>28/03/2026</v>
      </c>
      <c r="C2" t="s">
        <v>400</v>
      </c>
      <c r="D2" t="s">
        <v>401</v>
      </c>
      <c r="E2" t="s">
        <v>299</v>
      </c>
      <c r="F2" t="s">
        <v>117</v>
      </c>
      <c r="H2" t="s">
        <v>407</v>
      </c>
      <c r="I2" t="s">
        <v>408</v>
      </c>
      <c r="J2" t="s">
        <v>409</v>
      </c>
      <c r="K2" t="s">
        <v>411</v>
      </c>
      <c r="L2" t="s">
        <v>413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2" t="s">
        <v>122</v>
      </c>
      <c r="D1" t="s">
        <v>126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  <c r="L1" t="s">
        <v>290</v>
      </c>
      <c r="M1" t="s">
        <v>291</v>
      </c>
      <c r="N1" t="s">
        <v>292</v>
      </c>
      <c r="O1" t="s">
        <v>293</v>
      </c>
      <c r="P1" t="s">
        <v>294</v>
      </c>
      <c r="Q1" t="s">
        <v>295</v>
      </c>
    </row>
    <row r="2" spans="1:17" x14ac:dyDescent="0.25">
      <c r="A2" t="s">
        <v>280</v>
      </c>
      <c r="B2" t="s">
        <v>694</v>
      </c>
      <c r="C2" s="3" t="s">
        <v>253</v>
      </c>
      <c r="D2" t="s">
        <v>281</v>
      </c>
      <c r="F2" t="s">
        <v>304</v>
      </c>
      <c r="G2" t="s">
        <v>303</v>
      </c>
      <c r="H2" t="s">
        <v>131</v>
      </c>
      <c r="I2" t="s">
        <v>100</v>
      </c>
      <c r="J2" s="5" t="s">
        <v>302</v>
      </c>
      <c r="K2" t="s">
        <v>98</v>
      </c>
      <c r="L2" s="5" t="s">
        <v>301</v>
      </c>
      <c r="M2" s="5" t="s">
        <v>300</v>
      </c>
      <c r="N2" t="s">
        <v>299</v>
      </c>
      <c r="O2" t="s">
        <v>298</v>
      </c>
      <c r="P2" t="s">
        <v>297</v>
      </c>
      <c r="Q2" t="s">
        <v>296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419</v>
      </c>
      <c r="B2" s="3" t="s">
        <v>420</v>
      </c>
      <c r="C2" s="3" t="s">
        <v>421</v>
      </c>
      <c r="D2" s="5" t="s">
        <v>422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23.5703125" customWidth="1"/>
    <col min="2" max="2" width="12.5703125" customWidth="1"/>
    <col min="3" max="3" width="25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423</v>
      </c>
      <c r="B1" t="s">
        <v>424</v>
      </c>
      <c r="C1" t="s">
        <v>425</v>
      </c>
      <c r="D1" t="s">
        <v>426</v>
      </c>
      <c r="E1" t="s">
        <v>427</v>
      </c>
      <c r="F1" t="s">
        <v>428</v>
      </c>
      <c r="G1" t="s">
        <v>429</v>
      </c>
      <c r="H1" t="s">
        <v>430</v>
      </c>
      <c r="I1" t="s">
        <v>431</v>
      </c>
      <c r="J1" t="s">
        <v>432</v>
      </c>
      <c r="K1" t="s">
        <v>433</v>
      </c>
      <c r="L1" t="s">
        <v>434</v>
      </c>
      <c r="M1" t="s">
        <v>435</v>
      </c>
      <c r="N1" t="s">
        <v>436</v>
      </c>
      <c r="O1" t="s">
        <v>437</v>
      </c>
    </row>
    <row r="2" spans="1:15" x14ac:dyDescent="0.25">
      <c r="A2" t="s">
        <v>438</v>
      </c>
      <c r="B2" t="s">
        <v>439</v>
      </c>
      <c r="C2" t="s">
        <v>672</v>
      </c>
      <c r="D2" t="s">
        <v>441</v>
      </c>
      <c r="E2" s="6" t="s">
        <v>442</v>
      </c>
      <c r="F2" t="str">
        <f>LOWER(G2)</f>
        <v>primary</v>
      </c>
      <c r="G2" t="s">
        <v>208</v>
      </c>
      <c r="H2" t="str">
        <f>LOWER(I2)</f>
        <v>internal</v>
      </c>
      <c r="I2" t="s">
        <v>443</v>
      </c>
      <c r="J2" t="str">
        <f>LOWER(K2)</f>
        <v>left</v>
      </c>
      <c r="K2" t="s">
        <v>103</v>
      </c>
      <c r="L2" t="s">
        <v>444</v>
      </c>
      <c r="M2" t="str">
        <f>LOWER(N2)</f>
        <v>implanted</v>
      </c>
      <c r="N2" t="s">
        <v>445</v>
      </c>
      <c r="O2" s="5" t="s">
        <v>446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423</v>
      </c>
      <c r="B1" t="s">
        <v>424</v>
      </c>
      <c r="C1" t="s">
        <v>425</v>
      </c>
      <c r="D1" t="s">
        <v>426</v>
      </c>
      <c r="E1" t="s">
        <v>447</v>
      </c>
      <c r="F1" t="s">
        <v>427</v>
      </c>
      <c r="G1" t="s">
        <v>428</v>
      </c>
      <c r="H1" t="s">
        <v>429</v>
      </c>
      <c r="I1" t="s">
        <v>430</v>
      </c>
      <c r="J1" t="s">
        <v>431</v>
      </c>
      <c r="K1" t="s">
        <v>432</v>
      </c>
      <c r="L1" t="s">
        <v>433</v>
      </c>
      <c r="M1" t="s">
        <v>434</v>
      </c>
      <c r="N1" t="s">
        <v>435</v>
      </c>
      <c r="O1" t="s">
        <v>436</v>
      </c>
      <c r="P1" t="s">
        <v>448</v>
      </c>
    </row>
    <row r="2" spans="1:16" x14ac:dyDescent="0.25">
      <c r="A2" t="s">
        <v>438</v>
      </c>
      <c r="B2" t="s">
        <v>449</v>
      </c>
      <c r="C2" t="s">
        <v>440</v>
      </c>
      <c r="D2" t="s">
        <v>450</v>
      </c>
      <c r="E2" t="s">
        <v>451</v>
      </c>
      <c r="F2" s="6" t="s">
        <v>452</v>
      </c>
      <c r="G2" t="str">
        <f>SUBSTITUTE(LOWER(H2)," ","")</f>
        <v>firststage</v>
      </c>
      <c r="H2" t="s">
        <v>453</v>
      </c>
      <c r="I2" t="str">
        <f>LOWER(J2)</f>
        <v>external</v>
      </c>
      <c r="J2" t="s">
        <v>454</v>
      </c>
      <c r="K2" t="str">
        <f>LOWER(L2)</f>
        <v>right</v>
      </c>
      <c r="L2" t="s">
        <v>183</v>
      </c>
      <c r="M2" t="s">
        <v>455</v>
      </c>
      <c r="N2" t="str">
        <f>LOWER(O2)</f>
        <v>requested</v>
      </c>
      <c r="O2" t="s">
        <v>203</v>
      </c>
      <c r="P2" t="s">
        <v>456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A3" sqref="A3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457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</row>
    <row r="2" spans="1:11" x14ac:dyDescent="0.25">
      <c r="A2" t="s">
        <v>468</v>
      </c>
      <c r="B2" t="s">
        <v>469</v>
      </c>
      <c r="C2" t="s">
        <v>470</v>
      </c>
      <c r="D2" t="s">
        <v>471</v>
      </c>
      <c r="E2" t="s">
        <v>472</v>
      </c>
      <c r="F2" t="s">
        <v>473</v>
      </c>
      <c r="G2" t="s">
        <v>474</v>
      </c>
      <c r="K2" t="s">
        <v>475</v>
      </c>
    </row>
    <row r="3" spans="1:11" x14ac:dyDescent="0.25">
      <c r="A3" t="s">
        <v>696</v>
      </c>
      <c r="B3" t="s">
        <v>477</v>
      </c>
      <c r="C3" t="s">
        <v>478</v>
      </c>
      <c r="D3" t="s">
        <v>100</v>
      </c>
      <c r="K3" t="s">
        <v>479</v>
      </c>
    </row>
    <row r="4" spans="1:11" x14ac:dyDescent="0.25">
      <c r="A4" t="s">
        <v>480</v>
      </c>
      <c r="B4" t="s">
        <v>481</v>
      </c>
      <c r="C4" t="s">
        <v>482</v>
      </c>
      <c r="D4" t="s">
        <v>483</v>
      </c>
      <c r="E4" t="s">
        <v>484</v>
      </c>
      <c r="K4" t="s">
        <v>485</v>
      </c>
    </row>
    <row r="5" spans="1:11" x14ac:dyDescent="0.25">
      <c r="A5" t="s">
        <v>486</v>
      </c>
      <c r="B5" t="s">
        <v>487</v>
      </c>
      <c r="C5" s="3" t="s">
        <v>488</v>
      </c>
      <c r="D5" t="s">
        <v>489</v>
      </c>
      <c r="E5" t="s">
        <v>490</v>
      </c>
      <c r="F5" t="s">
        <v>487</v>
      </c>
      <c r="G5" t="s">
        <v>488</v>
      </c>
      <c r="H5" t="s">
        <v>489</v>
      </c>
      <c r="I5" t="s">
        <v>100</v>
      </c>
      <c r="J5" t="s">
        <v>100</v>
      </c>
      <c r="K5" t="s">
        <v>491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457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492</v>
      </c>
      <c r="M1" t="s">
        <v>493</v>
      </c>
      <c r="N1" t="s">
        <v>122</v>
      </c>
    </row>
    <row r="2" spans="1:14" x14ac:dyDescent="0.25">
      <c r="A2" t="s">
        <v>468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K2" t="s">
        <v>500</v>
      </c>
      <c r="L2" s="5" t="s">
        <v>501</v>
      </c>
      <c r="M2" s="5" t="s">
        <v>501</v>
      </c>
      <c r="N2" t="s">
        <v>502</v>
      </c>
    </row>
    <row r="3" spans="1:14" x14ac:dyDescent="0.25">
      <c r="A3" t="s">
        <v>476</v>
      </c>
      <c r="B3" t="s">
        <v>503</v>
      </c>
      <c r="C3" t="s">
        <v>504</v>
      </c>
      <c r="D3" t="s">
        <v>60</v>
      </c>
      <c r="K3" t="s">
        <v>505</v>
      </c>
      <c r="L3" s="5" t="s">
        <v>501</v>
      </c>
      <c r="M3" s="5" t="s">
        <v>501</v>
      </c>
      <c r="N3" t="s">
        <v>502</v>
      </c>
    </row>
    <row r="4" spans="1:14" x14ac:dyDescent="0.25">
      <c r="A4" t="s">
        <v>480</v>
      </c>
      <c r="B4" t="s">
        <v>506</v>
      </c>
      <c r="C4" t="s">
        <v>507</v>
      </c>
      <c r="D4" t="s">
        <v>508</v>
      </c>
      <c r="E4" t="s">
        <v>509</v>
      </c>
      <c r="K4" t="s">
        <v>510</v>
      </c>
      <c r="L4" s="5" t="s">
        <v>501</v>
      </c>
      <c r="M4" s="5" t="s">
        <v>501</v>
      </c>
      <c r="N4" t="s">
        <v>502</v>
      </c>
    </row>
    <row r="5" spans="1:14" x14ac:dyDescent="0.25">
      <c r="A5" t="s">
        <v>486</v>
      </c>
      <c r="B5" s="3" t="s">
        <v>488</v>
      </c>
      <c r="C5" t="s">
        <v>489</v>
      </c>
      <c r="D5" t="s">
        <v>490</v>
      </c>
      <c r="E5" t="s">
        <v>487</v>
      </c>
      <c r="F5" t="s">
        <v>488</v>
      </c>
      <c r="G5" t="s">
        <v>489</v>
      </c>
      <c r="H5" t="s">
        <v>487</v>
      </c>
      <c r="I5" t="s">
        <v>60</v>
      </c>
      <c r="J5" t="s">
        <v>60</v>
      </c>
      <c r="K5" t="s">
        <v>511</v>
      </c>
      <c r="L5" s="5" t="s">
        <v>501</v>
      </c>
      <c r="M5" s="5" t="s">
        <v>501</v>
      </c>
      <c r="N5" t="s">
        <v>502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  <c r="L1" t="s">
        <v>522</v>
      </c>
      <c r="M1" t="s">
        <v>523</v>
      </c>
      <c r="N1" t="s">
        <v>524</v>
      </c>
      <c r="O1" t="s">
        <v>525</v>
      </c>
      <c r="P1" t="s">
        <v>526</v>
      </c>
      <c r="Q1" t="s">
        <v>527</v>
      </c>
      <c r="R1" t="s">
        <v>528</v>
      </c>
      <c r="S1" t="s">
        <v>529</v>
      </c>
      <c r="T1" t="s">
        <v>530</v>
      </c>
      <c r="U1" t="s">
        <v>531</v>
      </c>
    </row>
    <row r="2" spans="1:21" x14ac:dyDescent="0.25">
      <c r="A2" t="s">
        <v>532</v>
      </c>
      <c r="B2" t="s">
        <v>533</v>
      </c>
      <c r="C2" t="s">
        <v>534</v>
      </c>
      <c r="D2" t="s">
        <v>535</v>
      </c>
      <c r="E2" t="s">
        <v>536</v>
      </c>
      <c r="F2" t="s">
        <v>537</v>
      </c>
      <c r="G2" t="s">
        <v>538</v>
      </c>
      <c r="H2" t="s">
        <v>539</v>
      </c>
      <c r="I2" t="s">
        <v>540</v>
      </c>
      <c r="J2" t="s">
        <v>541</v>
      </c>
      <c r="K2" t="s">
        <v>542</v>
      </c>
      <c r="L2" t="s">
        <v>543</v>
      </c>
      <c r="M2" t="s">
        <v>544</v>
      </c>
      <c r="N2" t="s">
        <v>545</v>
      </c>
      <c r="P2" t="s">
        <v>546</v>
      </c>
      <c r="Q2" t="s">
        <v>547</v>
      </c>
      <c r="R2" t="s">
        <v>548</v>
      </c>
      <c r="S2" t="s">
        <v>549</v>
      </c>
      <c r="U2" t="s">
        <v>532</v>
      </c>
    </row>
    <row r="3" spans="1:21" x14ac:dyDescent="0.25">
      <c r="A3" t="s">
        <v>550</v>
      </c>
      <c r="B3" t="s">
        <v>551</v>
      </c>
      <c r="C3" t="s">
        <v>552</v>
      </c>
      <c r="D3" t="s">
        <v>311</v>
      </c>
      <c r="O3" t="s">
        <v>553</v>
      </c>
      <c r="T3" t="s">
        <v>554</v>
      </c>
      <c r="U3" t="s">
        <v>555</v>
      </c>
    </row>
    <row r="4" spans="1:21" x14ac:dyDescent="0.25">
      <c r="A4" t="s">
        <v>556</v>
      </c>
      <c r="O4" t="s">
        <v>557</v>
      </c>
      <c r="T4" t="s">
        <v>558</v>
      </c>
      <c r="U4" t="s">
        <v>559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  <c r="L1" t="s">
        <v>522</v>
      </c>
      <c r="M1" t="s">
        <v>523</v>
      </c>
      <c r="N1" t="s">
        <v>524</v>
      </c>
      <c r="O1" t="s">
        <v>525</v>
      </c>
      <c r="P1" t="s">
        <v>526</v>
      </c>
      <c r="Q1" t="s">
        <v>527</v>
      </c>
      <c r="R1" t="s">
        <v>528</v>
      </c>
      <c r="S1" t="s">
        <v>529</v>
      </c>
      <c r="T1" t="s">
        <v>531</v>
      </c>
      <c r="U1" t="s">
        <v>132</v>
      </c>
      <c r="V1" t="s">
        <v>560</v>
      </c>
      <c r="W1" t="s">
        <v>561</v>
      </c>
      <c r="X1" t="s">
        <v>122</v>
      </c>
    </row>
    <row r="2" spans="1:24" x14ac:dyDescent="0.25">
      <c r="A2" t="s">
        <v>532</v>
      </c>
      <c r="B2" t="s">
        <v>537</v>
      </c>
      <c r="C2" t="s">
        <v>538</v>
      </c>
      <c r="D2" t="s">
        <v>562</v>
      </c>
      <c r="E2" t="s">
        <v>563</v>
      </c>
      <c r="F2" t="s">
        <v>533</v>
      </c>
      <c r="G2" t="s">
        <v>534</v>
      </c>
      <c r="H2" t="s">
        <v>564</v>
      </c>
      <c r="I2" t="s">
        <v>543</v>
      </c>
      <c r="J2" t="s">
        <v>544</v>
      </c>
      <c r="K2" t="s">
        <v>565</v>
      </c>
      <c r="L2" t="s">
        <v>540</v>
      </c>
      <c r="M2" t="s">
        <v>541</v>
      </c>
      <c r="N2" t="s">
        <v>566</v>
      </c>
      <c r="P2" t="s">
        <v>567</v>
      </c>
      <c r="Q2" t="s">
        <v>568</v>
      </c>
      <c r="R2" t="s">
        <v>569</v>
      </c>
      <c r="S2" t="s">
        <v>570</v>
      </c>
      <c r="T2" t="s">
        <v>532</v>
      </c>
      <c r="U2" s="5" t="s">
        <v>571</v>
      </c>
      <c r="V2" s="5" t="s">
        <v>571</v>
      </c>
      <c r="W2" s="5" t="s">
        <v>571</v>
      </c>
      <c r="X2" t="s">
        <v>572</v>
      </c>
    </row>
    <row r="3" spans="1:24" x14ac:dyDescent="0.25">
      <c r="A3" t="s">
        <v>550</v>
      </c>
      <c r="B3" s="5" t="s">
        <v>573</v>
      </c>
      <c r="C3" s="5" t="s">
        <v>574</v>
      </c>
      <c r="D3" s="5" t="s">
        <v>575</v>
      </c>
      <c r="E3" s="5" t="s">
        <v>185</v>
      </c>
      <c r="F3" s="5" t="s">
        <v>576</v>
      </c>
      <c r="G3" s="5"/>
      <c r="H3" s="5"/>
      <c r="I3" s="5"/>
      <c r="J3" s="5"/>
      <c r="K3" s="5"/>
      <c r="L3" s="5"/>
      <c r="M3" s="5"/>
      <c r="N3" s="5"/>
      <c r="O3" t="s">
        <v>577</v>
      </c>
      <c r="T3" t="s">
        <v>555</v>
      </c>
      <c r="V3" s="5" t="s">
        <v>571</v>
      </c>
      <c r="W3" s="5" t="s">
        <v>571</v>
      </c>
      <c r="X3" t="s">
        <v>572</v>
      </c>
    </row>
    <row r="4" spans="1:24" x14ac:dyDescent="0.25">
      <c r="A4" t="s">
        <v>556</v>
      </c>
      <c r="B4" s="5" t="s">
        <v>578</v>
      </c>
      <c r="C4" s="5" t="s">
        <v>579</v>
      </c>
      <c r="O4" t="s">
        <v>580</v>
      </c>
      <c r="T4" t="s">
        <v>559</v>
      </c>
      <c r="V4" s="5" t="s">
        <v>581</v>
      </c>
      <c r="W4" s="5" t="s">
        <v>581</v>
      </c>
      <c r="X4" t="s">
        <v>572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582</v>
      </c>
      <c r="B1" t="s">
        <v>583</v>
      </c>
      <c r="C1" t="s">
        <v>584</v>
      </c>
      <c r="D1" t="s">
        <v>585</v>
      </c>
      <c r="E1" t="s">
        <v>586</v>
      </c>
      <c r="F1" t="s">
        <v>587</v>
      </c>
      <c r="G1" t="s">
        <v>588</v>
      </c>
      <c r="H1" t="s">
        <v>589</v>
      </c>
      <c r="I1" t="s">
        <v>590</v>
      </c>
      <c r="J1" t="s">
        <v>591</v>
      </c>
      <c r="K1" t="s">
        <v>592</v>
      </c>
      <c r="L1" t="s">
        <v>593</v>
      </c>
      <c r="M1" t="s">
        <v>594</v>
      </c>
      <c r="N1" t="s">
        <v>595</v>
      </c>
      <c r="O1" t="s">
        <v>596</v>
      </c>
      <c r="P1" t="s">
        <v>597</v>
      </c>
      <c r="Q1" t="s">
        <v>598</v>
      </c>
    </row>
    <row r="2" spans="1:17" x14ac:dyDescent="0.25">
      <c r="A2" t="s">
        <v>639</v>
      </c>
      <c r="B2" t="s">
        <v>599</v>
      </c>
      <c r="C2" t="s">
        <v>600</v>
      </c>
      <c r="D2" s="6" t="s">
        <v>601</v>
      </c>
      <c r="E2" s="6" t="s">
        <v>602</v>
      </c>
      <c r="F2" t="s">
        <v>603</v>
      </c>
      <c r="G2" t="s">
        <v>604</v>
      </c>
      <c r="H2" t="s">
        <v>605</v>
      </c>
      <c r="I2" t="s">
        <v>606</v>
      </c>
      <c r="J2" t="s">
        <v>607</v>
      </c>
      <c r="K2" t="s">
        <v>608</v>
      </c>
      <c r="L2" t="s">
        <v>609</v>
      </c>
      <c r="M2" t="s">
        <v>610</v>
      </c>
      <c r="N2" t="s">
        <v>611</v>
      </c>
      <c r="O2" t="s">
        <v>612</v>
      </c>
      <c r="P2" t="s">
        <v>613</v>
      </c>
      <c r="Q2" s="10" t="s">
        <v>614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0" sqref="C10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582</v>
      </c>
      <c r="B1" t="s">
        <v>583</v>
      </c>
      <c r="C1" t="s">
        <v>615</v>
      </c>
      <c r="D1" t="s">
        <v>584</v>
      </c>
      <c r="E1" t="s">
        <v>585</v>
      </c>
      <c r="F1" t="s">
        <v>586</v>
      </c>
      <c r="G1" t="s">
        <v>616</v>
      </c>
      <c r="H1" t="s">
        <v>587</v>
      </c>
      <c r="I1" t="s">
        <v>588</v>
      </c>
      <c r="J1" t="s">
        <v>589</v>
      </c>
      <c r="K1" t="s">
        <v>590</v>
      </c>
      <c r="L1" t="s">
        <v>591</v>
      </c>
      <c r="M1" t="s">
        <v>592</v>
      </c>
      <c r="N1" t="s">
        <v>593</v>
      </c>
      <c r="O1" t="s">
        <v>594</v>
      </c>
      <c r="P1" t="s">
        <v>595</v>
      </c>
      <c r="Q1" t="s">
        <v>596</v>
      </c>
      <c r="R1" t="s">
        <v>597</v>
      </c>
      <c r="S1" t="s">
        <v>598</v>
      </c>
    </row>
    <row r="2" spans="1:19" x14ac:dyDescent="0.25">
      <c r="A2" t="s">
        <v>639</v>
      </c>
      <c r="B2" t="s">
        <v>599</v>
      </c>
      <c r="C2" t="s">
        <v>617</v>
      </c>
      <c r="D2" t="str">
        <f>LOWER(C2)</f>
        <v>withdrawn</v>
      </c>
      <c r="E2" s="6" t="s">
        <v>601</v>
      </c>
      <c r="F2" s="6" t="s">
        <v>415</v>
      </c>
      <c r="G2" s="6" t="s">
        <v>415</v>
      </c>
      <c r="H2" t="s">
        <v>603</v>
      </c>
      <c r="I2" t="s">
        <v>604</v>
      </c>
      <c r="J2" t="s">
        <v>605</v>
      </c>
      <c r="K2" t="s">
        <v>618</v>
      </c>
      <c r="L2" t="s">
        <v>619</v>
      </c>
      <c r="M2" t="s">
        <v>620</v>
      </c>
      <c r="N2" t="s">
        <v>621</v>
      </c>
      <c r="O2" t="s">
        <v>622</v>
      </c>
      <c r="P2" t="s">
        <v>623</v>
      </c>
      <c r="Q2" t="s">
        <v>624</v>
      </c>
      <c r="R2" t="s">
        <v>625</v>
      </c>
      <c r="S2" s="10" t="s">
        <v>626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5A04-924E-49D9-9893-77A84B2D33A8}">
  <dimension ref="A1:B16"/>
  <sheetViews>
    <sheetView topLeftCell="A7" workbookViewId="0">
      <selection activeCell="A16" sqref="A16"/>
    </sheetView>
  </sheetViews>
  <sheetFormatPr defaultRowHeight="15" x14ac:dyDescent="0.25"/>
  <cols>
    <col min="1" max="1" width="37.85546875" customWidth="1"/>
    <col min="2" max="2" width="23.140625" customWidth="1"/>
  </cols>
  <sheetData>
    <row r="1" spans="1:2" x14ac:dyDescent="0.25">
      <c r="A1" t="s">
        <v>643</v>
      </c>
      <c r="B1" t="s">
        <v>644</v>
      </c>
    </row>
    <row r="2" spans="1:2" x14ac:dyDescent="0.25">
      <c r="A2" t="s">
        <v>658</v>
      </c>
      <c r="B2" s="5" t="s">
        <v>657</v>
      </c>
    </row>
    <row r="3" spans="1:2" x14ac:dyDescent="0.25">
      <c r="A3" t="s">
        <v>659</v>
      </c>
      <c r="B3" s="5" t="s">
        <v>650</v>
      </c>
    </row>
    <row r="4" spans="1:2" x14ac:dyDescent="0.25">
      <c r="A4" s="3" t="s">
        <v>656</v>
      </c>
      <c r="B4" s="14" t="s">
        <v>645</v>
      </c>
    </row>
    <row r="5" spans="1:2" x14ac:dyDescent="0.25">
      <c r="A5" s="3" t="s">
        <v>660</v>
      </c>
      <c r="B5" s="14" t="s">
        <v>646</v>
      </c>
    </row>
    <row r="6" spans="1:2" x14ac:dyDescent="0.25">
      <c r="A6" s="3" t="s">
        <v>647</v>
      </c>
      <c r="B6" s="14" t="s">
        <v>648</v>
      </c>
    </row>
    <row r="7" spans="1:2" x14ac:dyDescent="0.25">
      <c r="A7" s="15" t="s">
        <v>661</v>
      </c>
      <c r="B7" s="14" t="s">
        <v>649</v>
      </c>
    </row>
    <row r="8" spans="1:2" x14ac:dyDescent="0.25">
      <c r="A8" s="3" t="s">
        <v>662</v>
      </c>
      <c r="B8" s="14" t="s">
        <v>649</v>
      </c>
    </row>
    <row r="9" spans="1:2" x14ac:dyDescent="0.25">
      <c r="A9" s="3" t="s">
        <v>663</v>
      </c>
      <c r="B9" s="14" t="s">
        <v>664</v>
      </c>
    </row>
    <row r="10" spans="1:2" x14ac:dyDescent="0.25">
      <c r="A10" s="3" t="s">
        <v>665</v>
      </c>
      <c r="B10" s="14" t="s">
        <v>650</v>
      </c>
    </row>
    <row r="11" spans="1:2" x14ac:dyDescent="0.25">
      <c r="A11" s="3" t="s">
        <v>651</v>
      </c>
      <c r="B11" s="14" t="s">
        <v>652</v>
      </c>
    </row>
    <row r="12" spans="1:2" x14ac:dyDescent="0.25">
      <c r="A12" s="3" t="s">
        <v>655</v>
      </c>
      <c r="B12" s="14" t="s">
        <v>653</v>
      </c>
    </row>
    <row r="13" spans="1:2" x14ac:dyDescent="0.25">
      <c r="A13" s="3" t="s">
        <v>666</v>
      </c>
      <c r="B13" s="5" t="s">
        <v>669</v>
      </c>
    </row>
    <row r="14" spans="1:2" x14ac:dyDescent="0.25">
      <c r="A14" s="3" t="s">
        <v>667</v>
      </c>
      <c r="B14" s="14" t="s">
        <v>668</v>
      </c>
    </row>
    <row r="15" spans="1:2" x14ac:dyDescent="0.25">
      <c r="A15" s="3" t="s">
        <v>670</v>
      </c>
      <c r="B15" s="14" t="s">
        <v>654</v>
      </c>
    </row>
    <row r="16" spans="1:2" x14ac:dyDescent="0.25">
      <c r="A16" s="3" t="s">
        <v>671</v>
      </c>
      <c r="B16" s="14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AddWorklist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2026-03-28T10:36:56Z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